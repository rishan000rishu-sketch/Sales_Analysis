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hidePivotFieldList="1"/>
  <mc:AlternateContent xmlns:mc="http://schemas.openxmlformats.org/markup-compatibility/2006">
    <mc:Choice Requires="x15">
      <x15ac:absPath xmlns:x15ac="http://schemas.microsoft.com/office/spreadsheetml/2010/11/ac" url="C:\Users\PREDATOR\Desktop\Rishan\MY PROJECTS\Sales_Analysis\"/>
    </mc:Choice>
  </mc:AlternateContent>
  <xr:revisionPtr revIDLastSave="0" documentId="13_ncr:1_{7F9E8205-B446-41D2-954D-8FC7801DA978}"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ily Analysis" sheetId="3" r:id="rId2"/>
    <sheet name="data" sheetId="1" r:id="rId3"/>
  </sheets>
  <definedNames>
    <definedName name="Slicer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<sst xmlns="http://schemas.openxmlformats.org/spreadsheetml/2006/main" count="129" uniqueCount="39">
  <si>
    <t>Order_ID</t>
  </si>
  <si>
    <t>Date</t>
  </si>
  <si>
    <t>Customer</t>
  </si>
  <si>
    <t>Product</t>
  </si>
  <si>
    <t>Category</t>
  </si>
  <si>
    <t>Quantity</t>
  </si>
  <si>
    <t>Price</t>
  </si>
  <si>
    <t>City</t>
  </si>
  <si>
    <t>Total Amount</t>
  </si>
  <si>
    <t>Total Revenue</t>
  </si>
  <si>
    <t>Average Sale</t>
  </si>
  <si>
    <t>Highest Sale</t>
  </si>
  <si>
    <t>Lowest Sale</t>
  </si>
  <si>
    <t>Revenue From each cities</t>
  </si>
  <si>
    <t>Total</t>
  </si>
  <si>
    <t>John</t>
  </si>
  <si>
    <t>Laptop</t>
  </si>
  <si>
    <t>Electronics</t>
  </si>
  <si>
    <t>Mumbai</t>
  </si>
  <si>
    <t>Alex</t>
  </si>
  <si>
    <t>Mouse</t>
  </si>
  <si>
    <t>Accessories</t>
  </si>
  <si>
    <t>Delhi</t>
  </si>
  <si>
    <t>Sara</t>
  </si>
  <si>
    <t>Keyboard</t>
  </si>
  <si>
    <t>Chennai</t>
  </si>
  <si>
    <t>Monitor</t>
  </si>
  <si>
    <t>David</t>
  </si>
  <si>
    <t>Bangalore</t>
  </si>
  <si>
    <t>Emma</t>
  </si>
  <si>
    <t>Pune</t>
  </si>
  <si>
    <t>Michael</t>
  </si>
  <si>
    <t>Hyderabad</t>
  </si>
  <si>
    <t>Headphones</t>
  </si>
  <si>
    <t>Row Labels</t>
  </si>
  <si>
    <t>Grand Total</t>
  </si>
  <si>
    <t>Sum of Revenue From each cities</t>
  </si>
  <si>
    <t>Sum of Total Revenue</t>
  </si>
  <si>
    <t>Sum of 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</si>
</sst>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Alignment="1">
      <alignment horizontal="left"/>
    </xf>
    <xf numFmtId="164" fontId="0" fillId="0" borderId="0" xfId="0" applyNumberFormat="1" applyAlignment="1">
      <alignment horizontal="left"/>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tables!Products</c:name>
    <c:fmtId val="4"/>
  </c:pivotSource>
  <c:chart>
    <c:title>
      <c:tx>
        <c:rich>
          <a:bodyPr rot="0" spcFirstLastPara="1" vertOverflow="ellipsis" vert="horz" wrap="square" anchor="ctr" anchorCtr="1"/>
          <a:lstStyle/>
          <a:p>
            <a:pPr algn="ctr" rtl="0">
              <a:defRPr lang="en-US" sz="1800" b="0" i="0" u="none" strike="noStrike" kern="1200" spc="0" baseline="0">
                <a:solidFill>
                  <a:srgbClr val="FF0000"/>
                </a:solidFill>
                <a:latin typeface="+mn-lt"/>
                <a:ea typeface="+mn-ea"/>
                <a:cs typeface="+mn-cs"/>
              </a:defRPr>
            </a:pPr>
            <a:r>
              <a:rPr lang="en-US" sz="1800" b="1" i="0" u="none" strike="noStrike" kern="1200" spc="0" baseline="0">
                <a:solidFill>
                  <a:srgbClr val="FF0000"/>
                </a:solidFill>
                <a:latin typeface="+mn-lt"/>
                <a:ea typeface="+mn-ea"/>
                <a:cs typeface="+mn-cs"/>
              </a:rPr>
              <a:t>Sales by Products</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37073490813649E-2"/>
          <c:y val="5.7639982502187218E-3"/>
          <c:w val="0.98796292650918638"/>
          <c:h val="0.93375217365819352"/>
        </c:manualLayout>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tables'!$D$4:$D$9</c:f>
              <c:strCache>
                <c:ptCount val="5"/>
                <c:pt idx="0">
                  <c:v>Headphones</c:v>
                </c:pt>
                <c:pt idx="1">
                  <c:v>Keyboard</c:v>
                </c:pt>
                <c:pt idx="2">
                  <c:v>Laptop</c:v>
                </c:pt>
                <c:pt idx="3">
                  <c:v>Monitor</c:v>
                </c:pt>
                <c:pt idx="4">
                  <c:v>Mouse</c:v>
                </c:pt>
              </c:strCache>
            </c:strRef>
          </c:cat>
          <c:val>
            <c:numRef>
              <c:f>'pivot tables'!$E$4:$E$9</c:f>
              <c:numCache>
                <c:formatCode>General</c:formatCode>
                <c:ptCount val="5"/>
                <c:pt idx="0">
                  <c:v>272400</c:v>
                </c:pt>
                <c:pt idx="1">
                  <c:v>674700</c:v>
                </c:pt>
                <c:pt idx="2">
                  <c:v>1036700</c:v>
                </c:pt>
                <c:pt idx="3">
                  <c:v>683200</c:v>
                </c:pt>
                <c:pt idx="4">
                  <c:v>913600</c:v>
                </c:pt>
              </c:numCache>
            </c:numRef>
          </c:val>
          <c:extLst>
            <c:ext xmlns:c16="http://schemas.microsoft.com/office/drawing/2014/chart" uri="{C3380CC4-5D6E-409C-BE32-E72D297353CC}">
              <c16:uniqueId val="{00000000-0DAA-4D5E-AAF3-37FD3E611865}"/>
            </c:ext>
          </c:extLst>
        </c:ser>
        <c:dLbls>
          <c:dLblPos val="outEnd"/>
          <c:showLegendKey val="0"/>
          <c:showVal val="1"/>
          <c:showCatName val="0"/>
          <c:showSerName val="0"/>
          <c:showPercent val="0"/>
          <c:showBubbleSize val="0"/>
        </c:dLbls>
        <c:gapWidth val="219"/>
        <c:overlap val="-27"/>
        <c:axId val="240783568"/>
        <c:axId val="240786064"/>
      </c:barChart>
      <c:catAx>
        <c:axId val="24078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spc="0" baseline="0">
                <a:solidFill>
                  <a:sysClr val="windowText" lastClr="000000"/>
                </a:solidFill>
                <a:latin typeface="+mn-lt"/>
                <a:ea typeface="+mn-ea"/>
                <a:cs typeface="+mn-cs"/>
              </a:defRPr>
            </a:pPr>
            <a:endParaRPr lang="en-US"/>
          </a:p>
        </c:txPr>
        <c:crossAx val="240786064"/>
        <c:crosses val="autoZero"/>
        <c:auto val="1"/>
        <c:lblAlgn val="ctr"/>
        <c:lblOffset val="100"/>
        <c:noMultiLvlLbl val="0"/>
      </c:catAx>
      <c:valAx>
        <c:axId val="240786064"/>
        <c:scaling>
          <c:orientation val="minMax"/>
        </c:scaling>
        <c:delete val="1"/>
        <c:axPos val="l"/>
        <c:numFmt formatCode="General" sourceLinked="1"/>
        <c:majorTickMark val="none"/>
        <c:minorTickMark val="none"/>
        <c:tickLblPos val="nextTo"/>
        <c:crossAx val="24078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b="1" i="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tables!Customer</c:name>
    <c:fmtId val="6"/>
  </c:pivotSource>
  <c:chart>
    <c:title>
      <c:tx>
        <c:rich>
          <a:bodyPr rot="0" spcFirstLastPara="1" vertOverflow="ellipsis" vert="horz" wrap="square" anchor="ctr" anchorCtr="1"/>
          <a:lstStyle/>
          <a:p>
            <a:pPr>
              <a:defRPr lang="en-US" sz="1800" b="1" i="1" u="none" strike="noStrike" kern="1200" spc="0" baseline="0">
                <a:solidFill>
                  <a:srgbClr val="FF0000"/>
                </a:solidFill>
                <a:latin typeface="+mn-lt"/>
                <a:ea typeface="+mn-ea"/>
                <a:cs typeface="+mn-cs"/>
              </a:defRPr>
            </a:pPr>
            <a:r>
              <a:rPr lang="en-US" sz="1800" b="1" i="1" u="none" strike="noStrike" kern="1200" baseline="0">
                <a:solidFill>
                  <a:srgbClr val="FF0000"/>
                </a:solidFill>
                <a:latin typeface="+mn-lt"/>
                <a:ea typeface="+mn-ea"/>
                <a:cs typeface="+mn-cs"/>
              </a:rPr>
              <a:t>Daily Customer</a:t>
            </a:r>
          </a:p>
        </c:rich>
      </c:tx>
      <c:overlay val="0"/>
      <c:spPr>
        <a:noFill/>
        <a:ln>
          <a:noFill/>
        </a:ln>
        <a:effectLst/>
      </c:spPr>
      <c:txPr>
        <a:bodyPr rot="0" spcFirstLastPara="1" vertOverflow="ellipsis" vert="horz" wrap="square" anchor="ctr" anchorCtr="1"/>
        <a:lstStyle/>
        <a:p>
          <a:pPr>
            <a:defRPr lang="en-US"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656587197433653E-2"/>
          <c:y val="7.8912037037037044E-2"/>
          <c:w val="0.93634341280256639"/>
          <c:h val="0.88868055555555558"/>
        </c:manualLayout>
      </c:layout>
      <c:barChart>
        <c:barDir val="bar"/>
        <c:grouping val="clustered"/>
        <c:varyColors val="0"/>
        <c:ser>
          <c:idx val="0"/>
          <c:order val="0"/>
          <c:tx>
            <c:strRef>
              <c:f>'pivot tables'!$K$3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tables'!$J$4:$J$10</c:f>
              <c:strCache>
                <c:ptCount val="6"/>
                <c:pt idx="0">
                  <c:v>Alex</c:v>
                </c:pt>
                <c:pt idx="1">
                  <c:v>David</c:v>
                </c:pt>
                <c:pt idx="2">
                  <c:v>Emma</c:v>
                </c:pt>
                <c:pt idx="3">
                  <c:v>John</c:v>
                </c:pt>
                <c:pt idx="4">
                  <c:v>Michael</c:v>
                </c:pt>
                <c:pt idx="5">
                  <c:v>Sara</c:v>
                </c:pt>
              </c:strCache>
            </c:strRef>
          </c:cat>
          <c:val>
            <c:numRef>
              <c:f>'pivot tables'!$K$4:$K$10</c:f>
              <c:numCache>
                <c:formatCode>General</c:formatCode>
                <c:ptCount val="6"/>
                <c:pt idx="0">
                  <c:v>56000</c:v>
                </c:pt>
                <c:pt idx="1">
                  <c:v>54400</c:v>
                </c:pt>
                <c:pt idx="2">
                  <c:v>68500</c:v>
                </c:pt>
                <c:pt idx="3">
                  <c:v>72400</c:v>
                </c:pt>
                <c:pt idx="4">
                  <c:v>80000</c:v>
                </c:pt>
                <c:pt idx="5">
                  <c:v>20200</c:v>
                </c:pt>
              </c:numCache>
            </c:numRef>
          </c:val>
          <c:extLst>
            <c:ext xmlns:c16="http://schemas.microsoft.com/office/drawing/2014/chart" uri="{C3380CC4-5D6E-409C-BE32-E72D297353CC}">
              <c16:uniqueId val="{00000000-2EFB-4BE7-9126-7D2F689AD477}"/>
            </c:ext>
          </c:extLst>
        </c:ser>
        <c:dLbls>
          <c:dLblPos val="outEnd"/>
          <c:showLegendKey val="0"/>
          <c:showVal val="1"/>
          <c:showCatName val="0"/>
          <c:showSerName val="0"/>
          <c:showPercent val="0"/>
          <c:showBubbleSize val="0"/>
        </c:dLbls>
        <c:gapWidth val="182"/>
        <c:axId val="286504480"/>
        <c:axId val="286504896"/>
      </c:barChart>
      <c:catAx>
        <c:axId val="286504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spc="0" baseline="0">
                <a:solidFill>
                  <a:sysClr val="windowText" lastClr="000000"/>
                </a:solidFill>
                <a:latin typeface="+mn-lt"/>
                <a:ea typeface="+mn-ea"/>
                <a:cs typeface="+mn-cs"/>
              </a:defRPr>
            </a:pPr>
            <a:endParaRPr lang="en-US"/>
          </a:p>
        </c:txPr>
        <c:crossAx val="286504896"/>
        <c:crosses val="autoZero"/>
        <c:auto val="1"/>
        <c:lblAlgn val="ctr"/>
        <c:lblOffset val="100"/>
        <c:noMultiLvlLbl val="0"/>
      </c:catAx>
      <c:valAx>
        <c:axId val="286504896"/>
        <c:scaling>
          <c:orientation val="minMax"/>
        </c:scaling>
        <c:delete val="1"/>
        <c:axPos val="b"/>
        <c:numFmt formatCode="General" sourceLinked="1"/>
        <c:majorTickMark val="none"/>
        <c:minorTickMark val="none"/>
        <c:tickLblPos val="nextTo"/>
        <c:crossAx val="28650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tables!City</c:name>
    <c:fmtId val="25"/>
  </c:pivotSource>
  <c:chart>
    <c:title>
      <c:tx>
        <c:rich>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r>
              <a:rPr lang="en-US" sz="1800" b="1" i="1">
                <a:solidFill>
                  <a:srgbClr val="FF0000"/>
                </a:solidFill>
              </a:rPr>
              <a:t>Sales </a:t>
            </a:r>
            <a:r>
              <a:rPr lang="en-US" sz="1800" b="1" i="1" u="none" strike="noStrike" kern="1200" spc="0" baseline="0">
                <a:solidFill>
                  <a:srgbClr val="FF0000"/>
                </a:solidFill>
                <a:latin typeface="+mn-lt"/>
                <a:ea typeface="+mn-ea"/>
                <a:cs typeface="+mn-cs"/>
              </a:rPr>
              <a:t>by</a:t>
            </a:r>
            <a:r>
              <a:rPr lang="en-US" sz="1800" b="1" i="1">
                <a:solidFill>
                  <a:srgbClr val="FF0000"/>
                </a:solidFill>
              </a:rPr>
              <a:t> City</a:t>
            </a:r>
          </a:p>
        </c:rich>
      </c:tx>
      <c:overlay val="0"/>
      <c:spPr>
        <a:solidFill>
          <a:sysClr val="window" lastClr="FFFFFF"/>
        </a:solidFill>
        <a:ln>
          <a:noFill/>
        </a:ln>
        <a:effectLst/>
      </c:spPr>
      <c:txPr>
        <a:bodyPr rot="0" spcFirstLastPara="1" vertOverflow="ellipsis" vert="horz" wrap="square" anchor="ctr" anchorCtr="1"/>
        <a:lstStyle/>
        <a:p>
          <a:pPr>
            <a:defRPr sz="1800" b="1" i="1"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Bangalore</c:v>
                </c:pt>
                <c:pt idx="1">
                  <c:v>Chennai</c:v>
                </c:pt>
                <c:pt idx="2">
                  <c:v>Delhi</c:v>
                </c:pt>
                <c:pt idx="3">
                  <c:v>Hyderabad</c:v>
                </c:pt>
                <c:pt idx="4">
                  <c:v>Mumbai</c:v>
                </c:pt>
                <c:pt idx="5">
                  <c:v>Pune</c:v>
                </c:pt>
              </c:strCache>
            </c:strRef>
          </c:cat>
          <c:val>
            <c:numRef>
              <c:f>'pivot tables'!$B$4:$B$10</c:f>
              <c:numCache>
                <c:formatCode>General</c:formatCode>
                <c:ptCount val="6"/>
                <c:pt idx="0">
                  <c:v>156400</c:v>
                </c:pt>
                <c:pt idx="1">
                  <c:v>71700</c:v>
                </c:pt>
                <c:pt idx="2">
                  <c:v>116000</c:v>
                </c:pt>
                <c:pt idx="3">
                  <c:v>130000</c:v>
                </c:pt>
                <c:pt idx="4">
                  <c:v>109600</c:v>
                </c:pt>
                <c:pt idx="5">
                  <c:v>86500</c:v>
                </c:pt>
              </c:numCache>
            </c:numRef>
          </c:val>
          <c:smooth val="0"/>
          <c:extLst>
            <c:ext xmlns:c16="http://schemas.microsoft.com/office/drawing/2014/chart" uri="{C3380CC4-5D6E-409C-BE32-E72D297353CC}">
              <c16:uniqueId val="{00000000-7435-435E-BB2A-59A6AFC10227}"/>
            </c:ext>
          </c:extLst>
        </c:ser>
        <c:dLbls>
          <c:dLblPos val="t"/>
          <c:showLegendKey val="0"/>
          <c:showVal val="1"/>
          <c:showCatName val="0"/>
          <c:showSerName val="0"/>
          <c:showPercent val="0"/>
          <c:showBubbleSize val="0"/>
        </c:dLbls>
        <c:smooth val="0"/>
        <c:axId val="2084243648"/>
        <c:axId val="2081032592"/>
      </c:lineChart>
      <c:catAx>
        <c:axId val="208424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spc="0" baseline="0">
                <a:solidFill>
                  <a:sysClr val="windowText" lastClr="000000"/>
                </a:solidFill>
                <a:latin typeface="+mn-lt"/>
                <a:ea typeface="+mn-ea"/>
                <a:cs typeface="+mn-cs"/>
              </a:defRPr>
            </a:pPr>
            <a:endParaRPr lang="en-US"/>
          </a:p>
        </c:txPr>
        <c:crossAx val="2081032592"/>
        <c:crosses val="autoZero"/>
        <c:auto val="1"/>
        <c:lblAlgn val="ctr"/>
        <c:lblOffset val="100"/>
        <c:noMultiLvlLbl val="0"/>
      </c:catAx>
      <c:valAx>
        <c:axId val="2081032592"/>
        <c:scaling>
          <c:orientation val="minMax"/>
        </c:scaling>
        <c:delete val="1"/>
        <c:axPos val="l"/>
        <c:numFmt formatCode="General" sourceLinked="1"/>
        <c:majorTickMark val="none"/>
        <c:minorTickMark val="none"/>
        <c:tickLblPos val="nextTo"/>
        <c:crossAx val="208424364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tables!Category</c:name>
    <c:fmtId val="11"/>
  </c:pivotSource>
  <c:chart>
    <c:title>
      <c:tx>
        <c:rich>
          <a:bodyPr rot="0" spcFirstLastPara="1" vertOverflow="ellipsis" vert="horz" wrap="square" anchor="ctr" anchorCtr="1"/>
          <a:lstStyle/>
          <a:p>
            <a:pPr algn="ctr" rtl="0">
              <a:defRPr lang="en-US" sz="1800" b="0" i="0" u="none" strike="noStrike" kern="1200" spc="0" baseline="0">
                <a:solidFill>
                  <a:srgbClr val="FF0000"/>
                </a:solidFill>
                <a:latin typeface="+mn-lt"/>
                <a:ea typeface="+mn-ea"/>
                <a:cs typeface="+mn-cs"/>
              </a:defRPr>
            </a:pPr>
            <a:r>
              <a:rPr lang="en-US" sz="1800" b="1" i="0" u="none" strike="noStrike" kern="1200" spc="0" baseline="0">
                <a:solidFill>
                  <a:srgbClr val="FF0000"/>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800" b="0"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dLbl>
          <c:idx val="0"/>
          <c:layout>
            <c:manualLayout>
              <c:x val="-0.2314366101964527"/>
              <c:y val="-3.837642169728788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198222381293248"/>
                  <c:h val="0.15675"/>
                </c:manualLayout>
              </c15:layout>
            </c:ext>
          </c:extLst>
        </c:dLbl>
      </c:pivotFmt>
      <c:pivotFmt>
        <c:idx val="6"/>
        <c:spPr>
          <a:solidFill>
            <a:schemeClr val="accent2"/>
          </a:solidFill>
          <a:ln w="19050">
            <a:solidFill>
              <a:schemeClr val="lt1"/>
            </a:solidFill>
          </a:ln>
          <a:effectLst/>
        </c:spPr>
        <c:dLbl>
          <c:idx val="0"/>
          <c:layout>
            <c:manualLayout>
              <c:x val="0.22701562872822717"/>
              <c:y val="2.714085739282589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0021454704525568"/>
                  <c:h val="0.10238888888888889"/>
                </c:manualLayout>
              </c15:layout>
            </c:ext>
          </c:extLst>
        </c:dLbl>
      </c:pivotFmt>
    </c:pivotFmts>
    <c:plotArea>
      <c:layout/>
      <c:pieChart>
        <c:varyColors val="1"/>
        <c:ser>
          <c:idx val="0"/>
          <c:order val="0"/>
          <c:tx>
            <c:strRef>
              <c:f>'pivot tables'!$K$13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AA9-432E-8D2A-DB96CF7F0C8A}"/>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AA9-432E-8D2A-DB96CF7F0C8A}"/>
              </c:ext>
            </c:extLst>
          </c:dPt>
          <c:dLbls>
            <c:dLbl>
              <c:idx val="0"/>
              <c:layout>
                <c:manualLayout>
                  <c:x val="-0.2314366101964527"/>
                  <c:y val="-3.8376421697287888E-2"/>
                </c:manualLayout>
              </c:layout>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19198222381293248"/>
                      <c:h val="0.15675"/>
                    </c:manualLayout>
                  </c15:layout>
                </c:ext>
                <c:ext xmlns:c16="http://schemas.microsoft.com/office/drawing/2014/chart" uri="{C3380CC4-5D6E-409C-BE32-E72D297353CC}">
                  <c16:uniqueId val="{00000001-9AA9-432E-8D2A-DB96CF7F0C8A}"/>
                </c:ext>
              </c:extLst>
            </c:dLbl>
            <c:dLbl>
              <c:idx val="1"/>
              <c:layout>
                <c:manualLayout>
                  <c:x val="0.22701562872822717"/>
                  <c:y val="2.7140857392825898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0021454704525568"/>
                      <c:h val="0.10238888888888889"/>
                    </c:manualLayout>
                  </c15:layout>
                </c:ext>
                <c:ext xmlns:c16="http://schemas.microsoft.com/office/drawing/2014/chart" uri="{C3380CC4-5D6E-409C-BE32-E72D297353CC}">
                  <c16:uniqueId val="{00000003-9AA9-432E-8D2A-DB96CF7F0C8A}"/>
                </c:ext>
              </c:extLst>
            </c:dLbl>
            <c:spPr>
              <a:noFill/>
              <a:ln>
                <a:noFill/>
              </a:ln>
              <a:effectLst/>
            </c:spPr>
            <c:txPr>
              <a:bodyPr rot="0" spcFirstLastPara="1" vertOverflow="ellipsis" vert="horz" wrap="square" lIns="38100" tIns="19050" rIns="38100" bIns="19050" anchor="ctr" anchorCtr="0">
                <a:noAutofit/>
              </a:bodyPr>
              <a:lstStyle/>
              <a:p>
                <a:pPr algn="ctr">
                  <a:defRPr lang="en-US" sz="11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tables'!$J$14:$J$16</c:f>
              <c:strCache>
                <c:ptCount val="2"/>
                <c:pt idx="0">
                  <c:v>Accessories</c:v>
                </c:pt>
                <c:pt idx="1">
                  <c:v>Electronics</c:v>
                </c:pt>
              </c:strCache>
            </c:strRef>
          </c:cat>
          <c:val>
            <c:numRef>
              <c:f>'pivot tables'!$K$14:$K$16</c:f>
              <c:numCache>
                <c:formatCode>General</c:formatCode>
                <c:ptCount val="2"/>
                <c:pt idx="0">
                  <c:v>1860700</c:v>
                </c:pt>
                <c:pt idx="1">
                  <c:v>1719900</c:v>
                </c:pt>
              </c:numCache>
            </c:numRef>
          </c:val>
          <c:extLst>
            <c:ext xmlns:c16="http://schemas.microsoft.com/office/drawing/2014/chart" uri="{C3380CC4-5D6E-409C-BE32-E72D297353CC}">
              <c16:uniqueId val="{00000004-9AA9-432E-8D2A-DB96CF7F0C8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23</xdr:col>
      <xdr:colOff>469900</xdr:colOff>
      <xdr:row>0</xdr:row>
      <xdr:rowOff>0</xdr:rowOff>
    </xdr:from>
    <xdr:to>
      <xdr:col>38</xdr:col>
      <xdr:colOff>469900</xdr:colOff>
      <xdr:row>28</xdr:row>
      <xdr:rowOff>139700</xdr:rowOff>
    </xdr:to>
    <xdr:graphicFrame macro="">
      <xdr:nvGraphicFramePr>
        <xdr:cNvPr id="4" name="Chart 3">
          <a:extLst>
            <a:ext uri="{FF2B5EF4-FFF2-40B4-BE49-F238E27FC236}">
              <a16:creationId xmlns:a16="http://schemas.microsoft.com/office/drawing/2014/main" id="{C6D41619-049D-4CAB-B140-2D33284EB6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482600</xdr:colOff>
      <xdr:row>25</xdr:row>
      <xdr:rowOff>152400</xdr:rowOff>
    </xdr:from>
    <xdr:to>
      <xdr:col>23</xdr:col>
      <xdr:colOff>482600</xdr:colOff>
      <xdr:row>51</xdr:row>
      <xdr:rowOff>101600</xdr:rowOff>
    </xdr:to>
    <xdr:graphicFrame macro="">
      <xdr:nvGraphicFramePr>
        <xdr:cNvPr id="5" name="Chart 4">
          <a:extLst>
            <a:ext uri="{FF2B5EF4-FFF2-40B4-BE49-F238E27FC236}">
              <a16:creationId xmlns:a16="http://schemas.microsoft.com/office/drawing/2014/main" id="{DE3909BB-71BB-4D95-A401-4CD6F86B1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457200</xdr:colOff>
      <xdr:row>0</xdr:row>
      <xdr:rowOff>0</xdr:rowOff>
    </xdr:from>
    <xdr:to>
      <xdr:col>23</xdr:col>
      <xdr:colOff>457200</xdr:colOff>
      <xdr:row>25</xdr:row>
      <xdr:rowOff>127000</xdr:rowOff>
    </xdr:to>
    <xdr:graphicFrame macro="">
      <xdr:nvGraphicFramePr>
        <xdr:cNvPr id="6" name="Chart 5">
          <a:extLst>
            <a:ext uri="{FF2B5EF4-FFF2-40B4-BE49-F238E27FC236}">
              <a16:creationId xmlns:a16="http://schemas.microsoft.com/office/drawing/2014/main" id="{D5BAAF78-B86D-4E3A-9FB0-E723E9192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292100</xdr:colOff>
      <xdr:row>25</xdr:row>
      <xdr:rowOff>165100</xdr:rowOff>
    </xdr:from>
    <xdr:to>
      <xdr:col>8</xdr:col>
      <xdr:colOff>444500</xdr:colOff>
      <xdr:row>51</xdr:row>
      <xdr:rowOff>114300</xdr:rowOff>
    </xdr:to>
    <xdr:graphicFrame macro="">
      <xdr:nvGraphicFramePr>
        <xdr:cNvPr id="8" name="Chart 7">
          <a:extLst>
            <a:ext uri="{FF2B5EF4-FFF2-40B4-BE49-F238E27FC236}">
              <a16:creationId xmlns:a16="http://schemas.microsoft.com/office/drawing/2014/main" id="{36F84DEC-CA33-406E-AE58-5C729A55B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xdr:colOff>
      <xdr:row>0</xdr:row>
      <xdr:rowOff>20320</xdr:rowOff>
    </xdr:from>
    <xdr:to>
      <xdr:col>8</xdr:col>
      <xdr:colOff>419100</xdr:colOff>
      <xdr:row>25</xdr:row>
      <xdr:rowOff>63500</xdr:rowOff>
    </xdr:to>
    <mc:AlternateContent xmlns:mc="http://schemas.openxmlformats.org/markup-compatibility/2006" xmlns:a14="http://schemas.microsoft.com/office/drawing/2010/main">
      <mc:Choice Requires="a14">
        <xdr:graphicFrame macro="">
          <xdr:nvGraphicFramePr>
            <xdr:cNvPr id="9" name="Date">
              <a:extLst>
                <a:ext uri="{FF2B5EF4-FFF2-40B4-BE49-F238E27FC236}">
                  <a16:creationId xmlns:a16="http://schemas.microsoft.com/office/drawing/2014/main" id="{FED67910-5C80-9E56-1CF8-1232E49B8E6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2860" y="20320"/>
              <a:ext cx="5273040" cy="4488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DATOR" refreshedDate="46176.635328703705" createdVersion="8" refreshedVersion="8" minRefreshableVersion="3" recordCount="20" xr:uid="{D5B3F104-B15E-4E99-9DE7-0C5AF763D49C}">
  <cacheSource type="worksheet">
    <worksheetSource ref="A1:O21" sheet="data"/>
  </cacheSource>
  <cacheFields count="15">
    <cacheField name="Order_ID" numFmtId="0">
      <sharedItems containsSemiMixedTypes="0" containsString="0" containsNumber="1" containsInteger="1" minValue="1" maxValue="20"/>
    </cacheField>
    <cacheField name="Date" numFmtId="164">
      <sharedItems containsSemiMixedTypes="0" containsNonDate="0" containsDate="1" containsString="0" minDate="2025-01-01T00:00:00" maxDate="2025-01-21T00:00:00" count="2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sharedItems>
    </cacheField>
    <cacheField name="Customer" numFmtId="0">
      <sharedItems count="6">
        <s v="John"/>
        <s v="Alex"/>
        <s v="Sara"/>
        <s v="David"/>
        <s v="Emma"/>
        <s v="Michael"/>
      </sharedItems>
    </cacheField>
    <cacheField name="Product" numFmtId="0">
      <sharedItems count="5">
        <s v="Laptop"/>
        <s v="Mouse"/>
        <s v="Keyboard"/>
        <s v="Monitor"/>
        <s v="Headphones"/>
      </sharedItems>
    </cacheField>
    <cacheField name="Category" numFmtId="0">
      <sharedItems count="2">
        <s v="Electronics"/>
        <s v="Accessories"/>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500" maxValue="52000"/>
    </cacheField>
    <cacheField name="City" numFmtId="0">
      <sharedItems count="6">
        <s v="Mumbai"/>
        <s v="Delhi"/>
        <s v="Chennai"/>
        <s v="Bangalore"/>
        <s v="Pune"/>
        <s v="Hyderabad"/>
      </sharedItems>
    </cacheField>
    <cacheField name="Total Amount" numFmtId="0">
      <sharedItems containsSemiMixedTypes="0" containsString="0" containsNumber="1" containsInteger="1" minValue="1000" maxValue="52000"/>
    </cacheField>
    <cacheField name="Total Revenue" numFmtId="0">
      <sharedItems containsSemiMixedTypes="0" containsString="0" containsNumber="1" containsInteger="1" minValue="2500" maxValue="351500"/>
    </cacheField>
    <cacheField name="Average Sale" numFmtId="0">
      <sharedItems containsSemiMixedTypes="0" containsString="0" containsNumber="1" minValue="2000" maxValue="23800"/>
    </cacheField>
    <cacheField name="Highest Sale" numFmtId="0">
      <sharedItems containsSemiMixedTypes="0" containsString="0" containsNumber="1" containsInteger="1" minValue="2500" maxValue="52000"/>
    </cacheField>
    <cacheField name="Lowest Sale" numFmtId="0">
      <sharedItems containsSemiMixedTypes="0" containsString="0" containsNumber="1" containsInteger="1" minValue="1000" maxValue="2500"/>
    </cacheField>
    <cacheField name="Revenue From each cities" numFmtId="0">
      <sharedItems containsSemiMixedTypes="0" containsString="0" containsNumber="1" containsInteger="1" minValue="1500" maxValue="80000"/>
    </cacheField>
    <cacheField name="Total" numFmtId="0">
      <sharedItems containsSemiMixedTypes="0" containsString="0" containsNumber="1" containsInteger="1" minValue="1000" maxValue="52000"/>
    </cacheField>
  </cacheFields>
  <extLst>
    <ext xmlns:x14="http://schemas.microsoft.com/office/spreadsheetml/2009/9/main" uri="{725AE2AE-9491-48be-B2B4-4EB974FC3084}">
      <x14:pivotCacheDefinition pivotCacheId="19779847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x v="0"/>
    <x v="0"/>
    <x v="0"/>
    <x v="0"/>
    <n v="1"/>
    <n v="50000"/>
    <x v="0"/>
    <n v="50000"/>
    <n v="351500"/>
    <n v="17575"/>
    <n v="52000"/>
    <n v="1000"/>
    <n v="72400"/>
    <n v="50000"/>
  </r>
  <r>
    <n v="2"/>
    <x v="1"/>
    <x v="1"/>
    <x v="1"/>
    <x v="1"/>
    <n v="2"/>
    <n v="500"/>
    <x v="1"/>
    <n v="1000"/>
    <n v="301500"/>
    <n v="15868.42105263158"/>
    <n v="52000"/>
    <n v="1000"/>
    <n v="56000"/>
    <n v="1000"/>
  </r>
  <r>
    <n v="3"/>
    <x v="2"/>
    <x v="2"/>
    <x v="2"/>
    <x v="1"/>
    <n v="1"/>
    <n v="1200"/>
    <x v="2"/>
    <n v="1200"/>
    <n v="300500"/>
    <n v="16694.444444444449"/>
    <n v="52000"/>
    <n v="1200"/>
    <n v="20200"/>
    <n v="1200"/>
  </r>
  <r>
    <n v="4"/>
    <x v="3"/>
    <x v="0"/>
    <x v="3"/>
    <x v="0"/>
    <n v="1"/>
    <n v="15000"/>
    <x v="0"/>
    <n v="15000"/>
    <n v="299300"/>
    <n v="17605.882352941171"/>
    <n v="52000"/>
    <n v="1500"/>
    <n v="22400"/>
    <n v="15000"/>
  </r>
  <r>
    <n v="5"/>
    <x v="4"/>
    <x v="1"/>
    <x v="0"/>
    <x v="0"/>
    <n v="1"/>
    <n v="50000"/>
    <x v="1"/>
    <n v="50000"/>
    <n v="284300"/>
    <n v="17768.75"/>
    <n v="52000"/>
    <n v="1500"/>
    <n v="55000"/>
    <n v="50000"/>
  </r>
  <r>
    <n v="6"/>
    <x v="5"/>
    <x v="2"/>
    <x v="1"/>
    <x v="1"/>
    <n v="3"/>
    <n v="500"/>
    <x v="2"/>
    <n v="1500"/>
    <n v="234300"/>
    <n v="15620"/>
    <n v="52000"/>
    <n v="1500"/>
    <n v="19000"/>
    <n v="1500"/>
  </r>
  <r>
    <n v="7"/>
    <x v="6"/>
    <x v="3"/>
    <x v="2"/>
    <x v="1"/>
    <n v="2"/>
    <n v="1200"/>
    <x v="3"/>
    <n v="2400"/>
    <n v="232800"/>
    <n v="16628.571428571431"/>
    <n v="52000"/>
    <n v="1500"/>
    <n v="54400"/>
    <n v="2400"/>
  </r>
  <r>
    <n v="8"/>
    <x v="7"/>
    <x v="0"/>
    <x v="1"/>
    <x v="1"/>
    <n v="5"/>
    <n v="500"/>
    <x v="0"/>
    <n v="2500"/>
    <n v="230400"/>
    <n v="17723.076923076918"/>
    <n v="52000"/>
    <n v="1500"/>
    <n v="7400"/>
    <n v="2500"/>
  </r>
  <r>
    <n v="9"/>
    <x v="8"/>
    <x v="4"/>
    <x v="0"/>
    <x v="0"/>
    <n v="1"/>
    <n v="52000"/>
    <x v="4"/>
    <n v="52000"/>
    <n v="227900"/>
    <n v="18991.666666666672"/>
    <n v="52000"/>
    <n v="1500"/>
    <n v="68500"/>
    <n v="52000"/>
  </r>
  <r>
    <n v="10"/>
    <x v="9"/>
    <x v="5"/>
    <x v="3"/>
    <x v="0"/>
    <n v="2"/>
    <n v="15000"/>
    <x v="5"/>
    <n v="30000"/>
    <n v="175900"/>
    <n v="15990.90909090909"/>
    <n v="50000"/>
    <n v="1500"/>
    <n v="80000"/>
    <n v="30000"/>
  </r>
  <r>
    <n v="11"/>
    <x v="10"/>
    <x v="2"/>
    <x v="4"/>
    <x v="1"/>
    <n v="1"/>
    <n v="2500"/>
    <x v="2"/>
    <n v="2500"/>
    <n v="145900"/>
    <n v="14590"/>
    <n v="50000"/>
    <n v="1500"/>
    <n v="17500"/>
    <n v="2500"/>
  </r>
  <r>
    <n v="12"/>
    <x v="11"/>
    <x v="3"/>
    <x v="1"/>
    <x v="1"/>
    <n v="4"/>
    <n v="500"/>
    <x v="3"/>
    <n v="2000"/>
    <n v="143400"/>
    <n v="15933.33333333333"/>
    <n v="50000"/>
    <n v="1500"/>
    <n v="52000"/>
    <n v="2000"/>
  </r>
  <r>
    <n v="13"/>
    <x v="12"/>
    <x v="0"/>
    <x v="2"/>
    <x v="1"/>
    <n v="2"/>
    <n v="1200"/>
    <x v="0"/>
    <n v="2400"/>
    <n v="141400"/>
    <n v="17675"/>
    <n v="50000"/>
    <n v="1500"/>
    <n v="4900"/>
    <n v="2400"/>
  </r>
  <r>
    <n v="14"/>
    <x v="13"/>
    <x v="4"/>
    <x v="3"/>
    <x v="0"/>
    <n v="1"/>
    <n v="15000"/>
    <x v="4"/>
    <n v="15000"/>
    <n v="139000"/>
    <n v="19857.142857142859"/>
    <n v="50000"/>
    <n v="1500"/>
    <n v="16500"/>
    <n v="15000"/>
  </r>
  <r>
    <n v="15"/>
    <x v="14"/>
    <x v="1"/>
    <x v="4"/>
    <x v="1"/>
    <n v="2"/>
    <n v="2500"/>
    <x v="1"/>
    <n v="5000"/>
    <n v="124000"/>
    <n v="20666.666666666672"/>
    <n v="50000"/>
    <n v="1500"/>
    <n v="5000"/>
    <n v="5000"/>
  </r>
  <r>
    <n v="16"/>
    <x v="15"/>
    <x v="5"/>
    <x v="0"/>
    <x v="0"/>
    <n v="1"/>
    <n v="50000"/>
    <x v="5"/>
    <n v="50000"/>
    <n v="119000"/>
    <n v="23800"/>
    <n v="50000"/>
    <n v="1500"/>
    <n v="50000"/>
    <n v="50000"/>
  </r>
  <r>
    <n v="17"/>
    <x v="16"/>
    <x v="2"/>
    <x v="3"/>
    <x v="0"/>
    <n v="1"/>
    <n v="15000"/>
    <x v="2"/>
    <n v="15000"/>
    <n v="69000"/>
    <n v="17250"/>
    <n v="50000"/>
    <n v="1500"/>
    <n v="15000"/>
    <n v="15000"/>
  </r>
  <r>
    <n v="18"/>
    <x v="17"/>
    <x v="3"/>
    <x v="0"/>
    <x v="0"/>
    <n v="1"/>
    <n v="50000"/>
    <x v="3"/>
    <n v="50000"/>
    <n v="54000"/>
    <n v="18000"/>
    <n v="50000"/>
    <n v="1500"/>
    <n v="50000"/>
    <n v="50000"/>
  </r>
  <r>
    <n v="19"/>
    <x v="18"/>
    <x v="4"/>
    <x v="1"/>
    <x v="1"/>
    <n v="3"/>
    <n v="500"/>
    <x v="4"/>
    <n v="1500"/>
    <n v="4000"/>
    <n v="2000"/>
    <n v="2500"/>
    <n v="1500"/>
    <n v="1500"/>
    <n v="1500"/>
  </r>
  <r>
    <n v="20"/>
    <x v="19"/>
    <x v="0"/>
    <x v="4"/>
    <x v="1"/>
    <n v="1"/>
    <n v="2500"/>
    <x v="0"/>
    <n v="2500"/>
    <n v="2500"/>
    <n v="2500"/>
    <n v="2500"/>
    <n v="2500"/>
    <n v="2500"/>
    <n v="2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780F95-F99D-48BF-ADA3-3884FEB3290B}" name="Custom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10" firstHeaderRow="1" firstDataRow="1" firstDataCol="1"/>
  <pivotFields count="15">
    <pivotField showAll="0"/>
    <pivotField numFmtId="164" showAll="0">
      <items count="21">
        <item x="0"/>
        <item x="1"/>
        <item x="2"/>
        <item x="3"/>
        <item x="4"/>
        <item x="5"/>
        <item x="6"/>
        <item x="7"/>
        <item x="8"/>
        <item x="9"/>
        <item x="10"/>
        <item x="11"/>
        <item x="12"/>
        <item x="13"/>
        <item x="14"/>
        <item x="15"/>
        <item x="16"/>
        <item x="17"/>
        <item x="18"/>
        <item x="19"/>
        <item t="default"/>
      </items>
    </pivotField>
    <pivotField axis="axisRow" showAll="0">
      <items count="7">
        <item x="1"/>
        <item x="3"/>
        <item x="4"/>
        <item x="0"/>
        <item x="5"/>
        <item x="2"/>
        <item t="default"/>
      </items>
    </pivotField>
    <pivotField showAll="0"/>
    <pivotField showAll="0"/>
    <pivotField showAll="0"/>
    <pivotField showAll="0"/>
    <pivotField showAll="0">
      <items count="7">
        <item x="3"/>
        <item x="2"/>
        <item x="1"/>
        <item x="5"/>
        <item x="0"/>
        <item x="4"/>
        <item t="default"/>
      </items>
    </pivotField>
    <pivotField dataField="1"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Total Amount" fld="8"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EA5FD6-2AAD-4B44-947C-482D8E7C13B5}" name="D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H24" firstHeaderRow="1" firstDataRow="1" firstDataCol="1"/>
  <pivotFields count="15">
    <pivotField showAll="0"/>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items count="7">
        <item x="3"/>
        <item x="2"/>
        <item x="1"/>
        <item x="5"/>
        <item x="0"/>
        <item x="4"/>
        <item t="default"/>
      </items>
    </pivotField>
    <pivotField showAll="0"/>
    <pivotField dataField="1" showAll="0"/>
    <pivotField showAll="0"/>
    <pivotField showAll="0"/>
    <pivotField showAll="0"/>
    <pivotField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Revenue" fld="9" baseField="0" baseItem="0"/>
  </dataFields>
  <chartFormats count="1">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D9F2EF-6219-4C08-B08D-E25E7814CAEA}" name="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9" firstHeaderRow="1" firstDataRow="1" firstDataCol="1"/>
  <pivotFields count="15">
    <pivotField showAll="0"/>
    <pivotField numFmtId="164" showAll="0">
      <items count="21">
        <item x="0"/>
        <item x="1"/>
        <item x="2"/>
        <item x="3"/>
        <item x="4"/>
        <item x="5"/>
        <item x="6"/>
        <item x="7"/>
        <item x="8"/>
        <item x="9"/>
        <item x="10"/>
        <item x="11"/>
        <item x="12"/>
        <item x="13"/>
        <item x="14"/>
        <item x="15"/>
        <item x="16"/>
        <item x="17"/>
        <item x="18"/>
        <item x="19"/>
        <item t="default"/>
      </items>
    </pivotField>
    <pivotField showAll="0">
      <items count="7">
        <item x="1"/>
        <item x="3"/>
        <item x="4"/>
        <item x="0"/>
        <item x="5"/>
        <item x="2"/>
        <item t="default"/>
      </items>
    </pivotField>
    <pivotField axis="axisRow" showAll="0">
      <items count="6">
        <item x="4"/>
        <item x="2"/>
        <item x="0"/>
        <item x="3"/>
        <item x="1"/>
        <item t="default"/>
      </items>
    </pivotField>
    <pivotField showAll="0"/>
    <pivotField showAll="0"/>
    <pivotField showAll="0"/>
    <pivotField showAll="0">
      <items count="7">
        <item x="3"/>
        <item x="2"/>
        <item x="1"/>
        <item x="5"/>
        <item x="0"/>
        <item x="4"/>
        <item t="default"/>
      </items>
    </pivotField>
    <pivotField showAll="0"/>
    <pivotField dataField="1"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 Revenue"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7704CB-BB69-4F57-94E1-482F6E272DC6}" name="C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0" firstHeaderRow="1" firstDataRow="1" firstDataCol="1"/>
  <pivotFields count="15">
    <pivotField showAll="0"/>
    <pivotField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axis="axisRow" showAll="0">
      <items count="7">
        <item x="3"/>
        <item x="2"/>
        <item x="1"/>
        <item x="5"/>
        <item x="0"/>
        <item x="4"/>
        <item t="default"/>
      </items>
    </pivotField>
    <pivotField showAll="0"/>
    <pivotField showAll="0"/>
    <pivotField showAll="0"/>
    <pivotField showAll="0"/>
    <pivotField showAll="0"/>
    <pivotField dataField="1" showAll="0"/>
    <pivotField showAll="0"/>
  </pivotFields>
  <rowFields count="1">
    <field x="7"/>
  </rowFields>
  <rowItems count="7">
    <i>
      <x/>
    </i>
    <i>
      <x v="1"/>
    </i>
    <i>
      <x v="2"/>
    </i>
    <i>
      <x v="3"/>
    </i>
    <i>
      <x v="4"/>
    </i>
    <i>
      <x v="5"/>
    </i>
    <i t="grand">
      <x/>
    </i>
  </rowItems>
  <colItems count="1">
    <i/>
  </colItems>
  <dataFields count="1">
    <dataField name="Sum of Revenue From each cities" fld="13" baseField="0" baseItem="0"/>
  </dataFields>
  <chartFormats count="1">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4325C-B3A9-4533-9280-CAA57F4FA558}"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3:K16" firstHeaderRow="1" firstDataRow="1" firstDataCol="1"/>
  <pivotFields count="15">
    <pivotField showAll="0"/>
    <pivotField numFmtId="164" showAll="0">
      <items count="21">
        <item x="0"/>
        <item x="1"/>
        <item x="2"/>
        <item x="3"/>
        <item x="4"/>
        <item x="5"/>
        <item x="6"/>
        <item x="7"/>
        <item x="8"/>
        <item x="9"/>
        <item x="10"/>
        <item x="11"/>
        <item x="12"/>
        <item x="13"/>
        <item x="14"/>
        <item x="15"/>
        <item x="16"/>
        <item x="17"/>
        <item x="18"/>
        <item x="19"/>
        <item t="default"/>
      </items>
    </pivotField>
    <pivotField showAll="0">
      <items count="7">
        <item x="1"/>
        <item x="3"/>
        <item x="4"/>
        <item x="0"/>
        <item x="5"/>
        <item x="2"/>
        <item t="default"/>
      </items>
    </pivotField>
    <pivotField showAll="0"/>
    <pivotField axis="axisRow" showAll="0">
      <items count="3">
        <item x="1"/>
        <item x="0"/>
        <item t="default"/>
      </items>
    </pivotField>
    <pivotField showAll="0"/>
    <pivotField showAll="0"/>
    <pivotField showAll="0">
      <items count="7">
        <item x="3"/>
        <item x="2"/>
        <item x="1"/>
        <item x="5"/>
        <item x="0"/>
        <item x="4"/>
        <item t="default"/>
      </items>
    </pivotField>
    <pivotField showAll="0"/>
    <pivotField dataField="1" showAll="0"/>
    <pivotField showAll="0"/>
    <pivotField showAll="0"/>
    <pivotField showAll="0"/>
    <pivotField showAll="0"/>
    <pivotField showAll="0"/>
  </pivotFields>
  <rowFields count="1">
    <field x="4"/>
  </rowFields>
  <rowItems count="3">
    <i>
      <x/>
    </i>
    <i>
      <x v="1"/>
    </i>
    <i t="grand">
      <x/>
    </i>
  </rowItems>
  <colItems count="1">
    <i/>
  </colItems>
  <dataFields count="1">
    <dataField name="Sum of Total Revenue" fld="9"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4" count="1" selected="0">
            <x v="0"/>
          </reference>
        </references>
      </pivotArea>
    </chartFormat>
    <chartFormat chart="11"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AE104632-1950-44FB-B691-D3F4ED622BD9}" sourceName="Date">
  <pivotTables>
    <pivotTable tabId="2" name="Category"/>
    <pivotTable tabId="2" name="City"/>
    <pivotTable tabId="2" name="Customer"/>
    <pivotTable tabId="2" name="Products"/>
  </pivotTables>
  <data>
    <tabular pivotCacheId="1977984771">
      <items count="20">
        <i x="0" s="1"/>
        <i x="1" s="1"/>
        <i x="2" s="1"/>
        <i x="3" s="1"/>
        <i x="4" s="1"/>
        <i x="5" s="1"/>
        <i x="6" s="1"/>
        <i x="7" s="1"/>
        <i x="8" s="1"/>
        <i x="9" s="1"/>
        <i x="10" s="1"/>
        <i x="11" s="1"/>
        <i x="12" s="1"/>
        <i x="13" s="1"/>
        <i x="14" s="1"/>
        <i x="15" s="1"/>
        <i x="16" s="1"/>
        <i x="17" s="1"/>
        <i x="18" s="1"/>
        <i x="1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D5A7955F-D375-4D28-9B2D-7AE51BAD4C3B}" cache="Slicer_Date" caption="Date" style="SlicerStyleOther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65F50-B0B2-449E-89D5-DF9FFB10538B}">
  <dimension ref="A3:K24"/>
  <sheetViews>
    <sheetView workbookViewId="0">
      <selection activeCell="J15" sqref="J15"/>
    </sheetView>
  </sheetViews>
  <sheetFormatPr defaultRowHeight="14.4" x14ac:dyDescent="0.3"/>
  <cols>
    <col min="1" max="1" width="12.5546875" bestFit="1" customWidth="1"/>
    <col min="2" max="2" width="29.109375" bestFit="1" customWidth="1"/>
    <col min="4" max="4" width="12.5546875" bestFit="1" customWidth="1"/>
    <col min="5" max="5" width="19.6640625" bestFit="1" customWidth="1"/>
    <col min="6" max="6" width="9.5546875" customWidth="1"/>
    <col min="7" max="7" width="18.109375" bestFit="1" customWidth="1"/>
    <col min="8" max="8" width="19.6640625" bestFit="1" customWidth="1"/>
    <col min="10" max="10" width="12.5546875" bestFit="1" customWidth="1"/>
    <col min="11" max="11" width="19.21875" bestFit="1" customWidth="1"/>
  </cols>
  <sheetData>
    <row r="3" spans="1:11" x14ac:dyDescent="0.3">
      <c r="A3" s="2" t="s">
        <v>34</v>
      </c>
      <c r="B3" t="s">
        <v>36</v>
      </c>
      <c r="D3" s="2" t="s">
        <v>34</v>
      </c>
      <c r="E3" t="s">
        <v>37</v>
      </c>
      <c r="G3" s="2" t="s">
        <v>34</v>
      </c>
      <c r="H3" t="s">
        <v>37</v>
      </c>
      <c r="J3" s="2" t="s">
        <v>34</v>
      </c>
      <c r="K3" t="s">
        <v>38</v>
      </c>
    </row>
    <row r="4" spans="1:11" x14ac:dyDescent="0.3">
      <c r="A4" s="3" t="s">
        <v>28</v>
      </c>
      <c r="B4">
        <v>156400</v>
      </c>
      <c r="D4" s="3" t="s">
        <v>33</v>
      </c>
      <c r="E4">
        <v>272400</v>
      </c>
      <c r="G4" s="4">
        <v>45658</v>
      </c>
      <c r="H4">
        <v>351500</v>
      </c>
      <c r="J4" s="3" t="s">
        <v>19</v>
      </c>
      <c r="K4">
        <v>56000</v>
      </c>
    </row>
    <row r="5" spans="1:11" x14ac:dyDescent="0.3">
      <c r="A5" s="3" t="s">
        <v>25</v>
      </c>
      <c r="B5">
        <v>71700</v>
      </c>
      <c r="D5" s="3" t="s">
        <v>24</v>
      </c>
      <c r="E5">
        <v>674700</v>
      </c>
      <c r="G5" s="4">
        <v>45659</v>
      </c>
      <c r="H5">
        <v>301500</v>
      </c>
      <c r="J5" s="3" t="s">
        <v>27</v>
      </c>
      <c r="K5">
        <v>54400</v>
      </c>
    </row>
    <row r="6" spans="1:11" x14ac:dyDescent="0.3">
      <c r="A6" s="3" t="s">
        <v>22</v>
      </c>
      <c r="B6">
        <v>116000</v>
      </c>
      <c r="D6" s="3" t="s">
        <v>16</v>
      </c>
      <c r="E6">
        <v>1036700</v>
      </c>
      <c r="G6" s="4">
        <v>45660</v>
      </c>
      <c r="H6">
        <v>300500</v>
      </c>
      <c r="J6" s="3" t="s">
        <v>29</v>
      </c>
      <c r="K6">
        <v>68500</v>
      </c>
    </row>
    <row r="7" spans="1:11" x14ac:dyDescent="0.3">
      <c r="A7" s="3" t="s">
        <v>32</v>
      </c>
      <c r="B7">
        <v>130000</v>
      </c>
      <c r="D7" s="3" t="s">
        <v>26</v>
      </c>
      <c r="E7">
        <v>683200</v>
      </c>
      <c r="G7" s="4">
        <v>45661</v>
      </c>
      <c r="H7">
        <v>299300</v>
      </c>
      <c r="J7" s="3" t="s">
        <v>15</v>
      </c>
      <c r="K7">
        <v>72400</v>
      </c>
    </row>
    <row r="8" spans="1:11" x14ac:dyDescent="0.3">
      <c r="A8" s="3" t="s">
        <v>18</v>
      </c>
      <c r="B8">
        <v>109600</v>
      </c>
      <c r="D8" s="3" t="s">
        <v>20</v>
      </c>
      <c r="E8">
        <v>913600</v>
      </c>
      <c r="G8" s="4">
        <v>45662</v>
      </c>
      <c r="H8">
        <v>284300</v>
      </c>
      <c r="J8" s="3" t="s">
        <v>31</v>
      </c>
      <c r="K8">
        <v>80000</v>
      </c>
    </row>
    <row r="9" spans="1:11" x14ac:dyDescent="0.3">
      <c r="A9" s="3" t="s">
        <v>30</v>
      </c>
      <c r="B9">
        <v>86500</v>
      </c>
      <c r="D9" s="3" t="s">
        <v>35</v>
      </c>
      <c r="E9">
        <v>3580600</v>
      </c>
      <c r="G9" s="4">
        <v>45663</v>
      </c>
      <c r="H9">
        <v>234300</v>
      </c>
      <c r="J9" s="3" t="s">
        <v>23</v>
      </c>
      <c r="K9">
        <v>20200</v>
      </c>
    </row>
    <row r="10" spans="1:11" x14ac:dyDescent="0.3">
      <c r="A10" s="3" t="s">
        <v>35</v>
      </c>
      <c r="B10">
        <v>670200</v>
      </c>
      <c r="G10" s="4">
        <v>45664</v>
      </c>
      <c r="H10">
        <v>232800</v>
      </c>
      <c r="J10" s="3" t="s">
        <v>35</v>
      </c>
      <c r="K10">
        <v>351500</v>
      </c>
    </row>
    <row r="11" spans="1:11" x14ac:dyDescent="0.3">
      <c r="G11" s="4">
        <v>45665</v>
      </c>
      <c r="H11">
        <v>230400</v>
      </c>
    </row>
    <row r="12" spans="1:11" x14ac:dyDescent="0.3">
      <c r="G12" s="4">
        <v>45666</v>
      </c>
      <c r="H12">
        <v>227900</v>
      </c>
    </row>
    <row r="13" spans="1:11" x14ac:dyDescent="0.3">
      <c r="G13" s="4">
        <v>45667</v>
      </c>
      <c r="H13">
        <v>175900</v>
      </c>
      <c r="J13" s="2" t="s">
        <v>34</v>
      </c>
      <c r="K13" t="s">
        <v>37</v>
      </c>
    </row>
    <row r="14" spans="1:11" x14ac:dyDescent="0.3">
      <c r="G14" s="4">
        <v>45668</v>
      </c>
      <c r="H14">
        <v>145900</v>
      </c>
      <c r="J14" s="3" t="s">
        <v>21</v>
      </c>
      <c r="K14">
        <v>1860700</v>
      </c>
    </row>
    <row r="15" spans="1:11" x14ac:dyDescent="0.3">
      <c r="G15" s="4">
        <v>45669</v>
      </c>
      <c r="H15">
        <v>143400</v>
      </c>
      <c r="J15" s="3" t="s">
        <v>17</v>
      </c>
      <c r="K15">
        <v>1719900</v>
      </c>
    </row>
    <row r="16" spans="1:11" x14ac:dyDescent="0.3">
      <c r="G16" s="4">
        <v>45670</v>
      </c>
      <c r="H16">
        <v>141400</v>
      </c>
      <c r="J16" s="3" t="s">
        <v>35</v>
      </c>
      <c r="K16">
        <v>3580600</v>
      </c>
    </row>
    <row r="17" spans="7:8" x14ac:dyDescent="0.3">
      <c r="G17" s="4">
        <v>45671</v>
      </c>
      <c r="H17">
        <v>139000</v>
      </c>
    </row>
    <row r="18" spans="7:8" x14ac:dyDescent="0.3">
      <c r="G18" s="4">
        <v>45672</v>
      </c>
      <c r="H18">
        <v>124000</v>
      </c>
    </row>
    <row r="19" spans="7:8" x14ac:dyDescent="0.3">
      <c r="G19" s="4">
        <v>45673</v>
      </c>
      <c r="H19">
        <v>119000</v>
      </c>
    </row>
    <row r="20" spans="7:8" x14ac:dyDescent="0.3">
      <c r="G20" s="4">
        <v>45674</v>
      </c>
      <c r="H20">
        <v>69000</v>
      </c>
    </row>
    <row r="21" spans="7:8" x14ac:dyDescent="0.3">
      <c r="G21" s="4">
        <v>45675</v>
      </c>
      <c r="H21">
        <v>54000</v>
      </c>
    </row>
    <row r="22" spans="7:8" x14ac:dyDescent="0.3">
      <c r="G22" s="4">
        <v>45676</v>
      </c>
      <c r="H22">
        <v>4000</v>
      </c>
    </row>
    <row r="23" spans="7:8" x14ac:dyDescent="0.3">
      <c r="G23" s="4">
        <v>45677</v>
      </c>
      <c r="H23">
        <v>2500</v>
      </c>
    </row>
    <row r="24" spans="7:8" x14ac:dyDescent="0.3">
      <c r="G24" s="4" t="s">
        <v>35</v>
      </c>
      <c r="H24">
        <v>3580600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E10E2-A67D-4372-B02E-EDA5E44BDC3F}">
  <dimension ref="F19"/>
  <sheetViews>
    <sheetView tabSelected="1" zoomScale="60" zoomScaleNormal="60" workbookViewId="0">
      <selection activeCell="Z38" sqref="Z38"/>
    </sheetView>
  </sheetViews>
  <sheetFormatPr defaultRowHeight="14.4" x14ac:dyDescent="0.3"/>
  <sheetData>
    <row r="19" spans="6:6" x14ac:dyDescent="0.3">
      <c r="F19"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1"/>
  <sheetViews>
    <sheetView workbookViewId="0">
      <selection activeCell="A3" sqref="A3"/>
    </sheetView>
  </sheetViews>
  <sheetFormatPr defaultRowHeight="14.4" x14ac:dyDescent="0.3"/>
  <cols>
    <col min="2" max="2" width="18.1093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s="1">
        <v>45658</v>
      </c>
      <c r="C2" t="s">
        <v>15</v>
      </c>
      <c r="D2" t="s">
        <v>16</v>
      </c>
      <c r="E2" t="s">
        <v>17</v>
      </c>
      <c r="F2">
        <v>1</v>
      </c>
      <c r="G2">
        <v>50000</v>
      </c>
      <c r="H2" t="s">
        <v>18</v>
      </c>
      <c r="I2">
        <v>50000</v>
      </c>
      <c r="J2">
        <v>351500</v>
      </c>
      <c r="K2">
        <v>17575</v>
      </c>
      <c r="L2">
        <v>52000</v>
      </c>
      <c r="M2">
        <v>1000</v>
      </c>
      <c r="N2">
        <v>72400</v>
      </c>
      <c r="O2">
        <v>50000</v>
      </c>
    </row>
    <row r="3" spans="1:15" x14ac:dyDescent="0.3">
      <c r="A3">
        <v>2</v>
      </c>
      <c r="B3" s="1">
        <v>45659</v>
      </c>
      <c r="C3" t="s">
        <v>19</v>
      </c>
      <c r="D3" t="s">
        <v>20</v>
      </c>
      <c r="E3" t="s">
        <v>21</v>
      </c>
      <c r="F3">
        <v>2</v>
      </c>
      <c r="G3">
        <v>500</v>
      </c>
      <c r="H3" t="s">
        <v>22</v>
      </c>
      <c r="I3">
        <v>1000</v>
      </c>
      <c r="J3">
        <v>301500</v>
      </c>
      <c r="K3">
        <v>15868.42105263158</v>
      </c>
      <c r="L3">
        <v>52000</v>
      </c>
      <c r="M3">
        <v>1000</v>
      </c>
      <c r="N3">
        <v>56000</v>
      </c>
      <c r="O3">
        <v>1000</v>
      </c>
    </row>
    <row r="4" spans="1:15" x14ac:dyDescent="0.3">
      <c r="A4">
        <v>3</v>
      </c>
      <c r="B4" s="1">
        <v>45660</v>
      </c>
      <c r="C4" t="s">
        <v>23</v>
      </c>
      <c r="D4" t="s">
        <v>24</v>
      </c>
      <c r="E4" t="s">
        <v>21</v>
      </c>
      <c r="F4">
        <v>1</v>
      </c>
      <c r="G4">
        <v>1200</v>
      </c>
      <c r="H4" t="s">
        <v>25</v>
      </c>
      <c r="I4">
        <v>1200</v>
      </c>
      <c r="J4">
        <v>300500</v>
      </c>
      <c r="K4">
        <v>16694.444444444449</v>
      </c>
      <c r="L4">
        <v>52000</v>
      </c>
      <c r="M4">
        <v>1200</v>
      </c>
      <c r="N4">
        <v>20200</v>
      </c>
      <c r="O4">
        <v>1200</v>
      </c>
    </row>
    <row r="5" spans="1:15" x14ac:dyDescent="0.3">
      <c r="A5">
        <v>4</v>
      </c>
      <c r="B5" s="1">
        <v>45661</v>
      </c>
      <c r="C5" t="s">
        <v>15</v>
      </c>
      <c r="D5" t="s">
        <v>26</v>
      </c>
      <c r="E5" t="s">
        <v>17</v>
      </c>
      <c r="F5">
        <v>1</v>
      </c>
      <c r="G5">
        <v>15000</v>
      </c>
      <c r="H5" t="s">
        <v>18</v>
      </c>
      <c r="I5">
        <v>15000</v>
      </c>
      <c r="J5">
        <v>299300</v>
      </c>
      <c r="K5">
        <v>17605.882352941171</v>
      </c>
      <c r="L5">
        <v>52000</v>
      </c>
      <c r="M5">
        <v>1500</v>
      </c>
      <c r="N5">
        <v>22400</v>
      </c>
      <c r="O5">
        <v>15000</v>
      </c>
    </row>
    <row r="6" spans="1:15" x14ac:dyDescent="0.3">
      <c r="A6">
        <v>5</v>
      </c>
      <c r="B6" s="1">
        <v>45662</v>
      </c>
      <c r="C6" t="s">
        <v>19</v>
      </c>
      <c r="D6" t="s">
        <v>16</v>
      </c>
      <c r="E6" t="s">
        <v>17</v>
      </c>
      <c r="F6">
        <v>1</v>
      </c>
      <c r="G6">
        <v>50000</v>
      </c>
      <c r="H6" t="s">
        <v>22</v>
      </c>
      <c r="I6">
        <v>50000</v>
      </c>
      <c r="J6">
        <v>284300</v>
      </c>
      <c r="K6">
        <v>17768.75</v>
      </c>
      <c r="L6">
        <v>52000</v>
      </c>
      <c r="M6">
        <v>1500</v>
      </c>
      <c r="N6">
        <v>55000</v>
      </c>
      <c r="O6">
        <v>50000</v>
      </c>
    </row>
    <row r="7" spans="1:15" x14ac:dyDescent="0.3">
      <c r="A7">
        <v>6</v>
      </c>
      <c r="B7" s="1">
        <v>45663</v>
      </c>
      <c r="C7" t="s">
        <v>23</v>
      </c>
      <c r="D7" t="s">
        <v>20</v>
      </c>
      <c r="E7" t="s">
        <v>21</v>
      </c>
      <c r="F7">
        <v>3</v>
      </c>
      <c r="G7">
        <v>500</v>
      </c>
      <c r="H7" t="s">
        <v>25</v>
      </c>
      <c r="I7">
        <v>1500</v>
      </c>
      <c r="J7">
        <v>234300</v>
      </c>
      <c r="K7">
        <v>15620</v>
      </c>
      <c r="L7">
        <v>52000</v>
      </c>
      <c r="M7">
        <v>1500</v>
      </c>
      <c r="N7">
        <v>19000</v>
      </c>
      <c r="O7">
        <v>1500</v>
      </c>
    </row>
    <row r="8" spans="1:15" x14ac:dyDescent="0.3">
      <c r="A8">
        <v>7</v>
      </c>
      <c r="B8" s="1">
        <v>45664</v>
      </c>
      <c r="C8" t="s">
        <v>27</v>
      </c>
      <c r="D8" t="s">
        <v>24</v>
      </c>
      <c r="E8" t="s">
        <v>21</v>
      </c>
      <c r="F8">
        <v>2</v>
      </c>
      <c r="G8">
        <v>1200</v>
      </c>
      <c r="H8" t="s">
        <v>28</v>
      </c>
      <c r="I8">
        <v>2400</v>
      </c>
      <c r="J8">
        <v>232800</v>
      </c>
      <c r="K8">
        <v>16628.571428571431</v>
      </c>
      <c r="L8">
        <v>52000</v>
      </c>
      <c r="M8">
        <v>1500</v>
      </c>
      <c r="N8">
        <v>54400</v>
      </c>
      <c r="O8">
        <v>2400</v>
      </c>
    </row>
    <row r="9" spans="1:15" x14ac:dyDescent="0.3">
      <c r="A9">
        <v>8</v>
      </c>
      <c r="B9" s="1">
        <v>45665</v>
      </c>
      <c r="C9" t="s">
        <v>15</v>
      </c>
      <c r="D9" t="s">
        <v>20</v>
      </c>
      <c r="E9" t="s">
        <v>21</v>
      </c>
      <c r="F9">
        <v>5</v>
      </c>
      <c r="G9">
        <v>500</v>
      </c>
      <c r="H9" t="s">
        <v>18</v>
      </c>
      <c r="I9">
        <v>2500</v>
      </c>
      <c r="J9">
        <v>230400</v>
      </c>
      <c r="K9">
        <v>17723.076923076918</v>
      </c>
      <c r="L9">
        <v>52000</v>
      </c>
      <c r="M9">
        <v>1500</v>
      </c>
      <c r="N9">
        <v>7400</v>
      </c>
      <c r="O9">
        <v>2500</v>
      </c>
    </row>
    <row r="10" spans="1:15" x14ac:dyDescent="0.3">
      <c r="A10">
        <v>9</v>
      </c>
      <c r="B10" s="1">
        <v>45666</v>
      </c>
      <c r="C10" t="s">
        <v>29</v>
      </c>
      <c r="D10" t="s">
        <v>16</v>
      </c>
      <c r="E10" t="s">
        <v>17</v>
      </c>
      <c r="F10">
        <v>1</v>
      </c>
      <c r="G10">
        <v>52000</v>
      </c>
      <c r="H10" t="s">
        <v>30</v>
      </c>
      <c r="I10">
        <v>52000</v>
      </c>
      <c r="J10">
        <v>227900</v>
      </c>
      <c r="K10">
        <v>18991.666666666672</v>
      </c>
      <c r="L10">
        <v>52000</v>
      </c>
      <c r="M10">
        <v>1500</v>
      </c>
      <c r="N10">
        <v>68500</v>
      </c>
      <c r="O10">
        <v>52000</v>
      </c>
    </row>
    <row r="11" spans="1:15" x14ac:dyDescent="0.3">
      <c r="A11">
        <v>10</v>
      </c>
      <c r="B11" s="1">
        <v>45667</v>
      </c>
      <c r="C11" t="s">
        <v>31</v>
      </c>
      <c r="D11" t="s">
        <v>26</v>
      </c>
      <c r="E11" t="s">
        <v>17</v>
      </c>
      <c r="F11">
        <v>2</v>
      </c>
      <c r="G11">
        <v>15000</v>
      </c>
      <c r="H11" t="s">
        <v>32</v>
      </c>
      <c r="I11">
        <v>30000</v>
      </c>
      <c r="J11">
        <v>175900</v>
      </c>
      <c r="K11">
        <v>15990.90909090909</v>
      </c>
      <c r="L11">
        <v>50000</v>
      </c>
      <c r="M11">
        <v>1500</v>
      </c>
      <c r="N11">
        <v>80000</v>
      </c>
      <c r="O11">
        <v>30000</v>
      </c>
    </row>
    <row r="12" spans="1:15" x14ac:dyDescent="0.3">
      <c r="A12">
        <v>11</v>
      </c>
      <c r="B12" s="1">
        <v>45668</v>
      </c>
      <c r="C12" t="s">
        <v>23</v>
      </c>
      <c r="D12" t="s">
        <v>33</v>
      </c>
      <c r="E12" t="s">
        <v>21</v>
      </c>
      <c r="F12">
        <v>1</v>
      </c>
      <c r="G12">
        <v>2500</v>
      </c>
      <c r="H12" t="s">
        <v>25</v>
      </c>
      <c r="I12">
        <v>2500</v>
      </c>
      <c r="J12">
        <v>145900</v>
      </c>
      <c r="K12">
        <v>14590</v>
      </c>
      <c r="L12">
        <v>50000</v>
      </c>
      <c r="M12">
        <v>1500</v>
      </c>
      <c r="N12">
        <v>17500</v>
      </c>
      <c r="O12">
        <v>2500</v>
      </c>
    </row>
    <row r="13" spans="1:15" x14ac:dyDescent="0.3">
      <c r="A13">
        <v>12</v>
      </c>
      <c r="B13" s="1">
        <v>45669</v>
      </c>
      <c r="C13" t="s">
        <v>27</v>
      </c>
      <c r="D13" t="s">
        <v>20</v>
      </c>
      <c r="E13" t="s">
        <v>21</v>
      </c>
      <c r="F13">
        <v>4</v>
      </c>
      <c r="G13">
        <v>500</v>
      </c>
      <c r="H13" t="s">
        <v>28</v>
      </c>
      <c r="I13">
        <v>2000</v>
      </c>
      <c r="J13">
        <v>143400</v>
      </c>
      <c r="K13">
        <v>15933.33333333333</v>
      </c>
      <c r="L13">
        <v>50000</v>
      </c>
      <c r="M13">
        <v>1500</v>
      </c>
      <c r="N13">
        <v>52000</v>
      </c>
      <c r="O13">
        <v>2000</v>
      </c>
    </row>
    <row r="14" spans="1:15" x14ac:dyDescent="0.3">
      <c r="A14">
        <v>13</v>
      </c>
      <c r="B14" s="1">
        <v>45670</v>
      </c>
      <c r="C14" t="s">
        <v>15</v>
      </c>
      <c r="D14" t="s">
        <v>24</v>
      </c>
      <c r="E14" t="s">
        <v>21</v>
      </c>
      <c r="F14">
        <v>2</v>
      </c>
      <c r="G14">
        <v>1200</v>
      </c>
      <c r="H14" t="s">
        <v>18</v>
      </c>
      <c r="I14">
        <v>2400</v>
      </c>
      <c r="J14">
        <v>141400</v>
      </c>
      <c r="K14">
        <v>17675</v>
      </c>
      <c r="L14">
        <v>50000</v>
      </c>
      <c r="M14">
        <v>1500</v>
      </c>
      <c r="N14">
        <v>4900</v>
      </c>
      <c r="O14">
        <v>2400</v>
      </c>
    </row>
    <row r="15" spans="1:15" x14ac:dyDescent="0.3">
      <c r="A15">
        <v>14</v>
      </c>
      <c r="B15" s="1">
        <v>45671</v>
      </c>
      <c r="C15" t="s">
        <v>29</v>
      </c>
      <c r="D15" t="s">
        <v>26</v>
      </c>
      <c r="E15" t="s">
        <v>17</v>
      </c>
      <c r="F15">
        <v>1</v>
      </c>
      <c r="G15">
        <v>15000</v>
      </c>
      <c r="H15" t="s">
        <v>30</v>
      </c>
      <c r="I15">
        <v>15000</v>
      </c>
      <c r="J15">
        <v>139000</v>
      </c>
      <c r="K15">
        <v>19857.142857142859</v>
      </c>
      <c r="L15">
        <v>50000</v>
      </c>
      <c r="M15">
        <v>1500</v>
      </c>
      <c r="N15">
        <v>16500</v>
      </c>
      <c r="O15">
        <v>15000</v>
      </c>
    </row>
    <row r="16" spans="1:15" x14ac:dyDescent="0.3">
      <c r="A16">
        <v>15</v>
      </c>
      <c r="B16" s="1">
        <v>45672</v>
      </c>
      <c r="C16" t="s">
        <v>19</v>
      </c>
      <c r="D16" t="s">
        <v>33</v>
      </c>
      <c r="E16" t="s">
        <v>21</v>
      </c>
      <c r="F16">
        <v>2</v>
      </c>
      <c r="G16">
        <v>2500</v>
      </c>
      <c r="H16" t="s">
        <v>22</v>
      </c>
      <c r="I16">
        <v>5000</v>
      </c>
      <c r="J16">
        <v>124000</v>
      </c>
      <c r="K16">
        <v>20666.666666666672</v>
      </c>
      <c r="L16">
        <v>50000</v>
      </c>
      <c r="M16">
        <v>1500</v>
      </c>
      <c r="N16">
        <v>5000</v>
      </c>
      <c r="O16">
        <v>5000</v>
      </c>
    </row>
    <row r="17" spans="1:15" x14ac:dyDescent="0.3">
      <c r="A17">
        <v>16</v>
      </c>
      <c r="B17" s="1">
        <v>45673</v>
      </c>
      <c r="C17" t="s">
        <v>31</v>
      </c>
      <c r="D17" t="s">
        <v>16</v>
      </c>
      <c r="E17" t="s">
        <v>17</v>
      </c>
      <c r="F17">
        <v>1</v>
      </c>
      <c r="G17">
        <v>50000</v>
      </c>
      <c r="H17" t="s">
        <v>32</v>
      </c>
      <c r="I17">
        <v>50000</v>
      </c>
      <c r="J17">
        <v>119000</v>
      </c>
      <c r="K17">
        <v>23800</v>
      </c>
      <c r="L17">
        <v>50000</v>
      </c>
      <c r="M17">
        <v>1500</v>
      </c>
      <c r="N17">
        <v>50000</v>
      </c>
      <c r="O17">
        <v>50000</v>
      </c>
    </row>
    <row r="18" spans="1:15" x14ac:dyDescent="0.3">
      <c r="A18">
        <v>17</v>
      </c>
      <c r="B18" s="1">
        <v>45674</v>
      </c>
      <c r="C18" t="s">
        <v>23</v>
      </c>
      <c r="D18" t="s">
        <v>26</v>
      </c>
      <c r="E18" t="s">
        <v>17</v>
      </c>
      <c r="F18">
        <v>1</v>
      </c>
      <c r="G18">
        <v>15000</v>
      </c>
      <c r="H18" t="s">
        <v>25</v>
      </c>
      <c r="I18">
        <v>15000</v>
      </c>
      <c r="J18">
        <v>69000</v>
      </c>
      <c r="K18">
        <v>17250</v>
      </c>
      <c r="L18">
        <v>50000</v>
      </c>
      <c r="M18">
        <v>1500</v>
      </c>
      <c r="N18">
        <v>15000</v>
      </c>
      <c r="O18">
        <v>15000</v>
      </c>
    </row>
    <row r="19" spans="1:15" x14ac:dyDescent="0.3">
      <c r="A19">
        <v>18</v>
      </c>
      <c r="B19" s="1">
        <v>45675</v>
      </c>
      <c r="C19" t="s">
        <v>27</v>
      </c>
      <c r="D19" t="s">
        <v>16</v>
      </c>
      <c r="E19" t="s">
        <v>17</v>
      </c>
      <c r="F19">
        <v>1</v>
      </c>
      <c r="G19">
        <v>50000</v>
      </c>
      <c r="H19" t="s">
        <v>28</v>
      </c>
      <c r="I19">
        <v>50000</v>
      </c>
      <c r="J19">
        <v>54000</v>
      </c>
      <c r="K19">
        <v>18000</v>
      </c>
      <c r="L19">
        <v>50000</v>
      </c>
      <c r="M19">
        <v>1500</v>
      </c>
      <c r="N19">
        <v>50000</v>
      </c>
      <c r="O19">
        <v>50000</v>
      </c>
    </row>
    <row r="20" spans="1:15" x14ac:dyDescent="0.3">
      <c r="A20">
        <v>19</v>
      </c>
      <c r="B20" s="1">
        <v>45676</v>
      </c>
      <c r="C20" t="s">
        <v>29</v>
      </c>
      <c r="D20" t="s">
        <v>20</v>
      </c>
      <c r="E20" t="s">
        <v>21</v>
      </c>
      <c r="F20">
        <v>3</v>
      </c>
      <c r="G20">
        <v>500</v>
      </c>
      <c r="H20" t="s">
        <v>30</v>
      </c>
      <c r="I20">
        <v>1500</v>
      </c>
      <c r="J20">
        <v>4000</v>
      </c>
      <c r="K20">
        <v>2000</v>
      </c>
      <c r="L20">
        <v>2500</v>
      </c>
      <c r="M20">
        <v>1500</v>
      </c>
      <c r="N20">
        <v>1500</v>
      </c>
      <c r="O20">
        <v>1500</v>
      </c>
    </row>
    <row r="21" spans="1:15" x14ac:dyDescent="0.3">
      <c r="A21">
        <v>20</v>
      </c>
      <c r="B21" s="1">
        <v>45677</v>
      </c>
      <c r="C21" t="s">
        <v>15</v>
      </c>
      <c r="D21" t="s">
        <v>33</v>
      </c>
      <c r="E21" t="s">
        <v>21</v>
      </c>
      <c r="F21">
        <v>1</v>
      </c>
      <c r="G21">
        <v>2500</v>
      </c>
      <c r="H21" t="s">
        <v>18</v>
      </c>
      <c r="I21">
        <v>2500</v>
      </c>
      <c r="J21">
        <v>2500</v>
      </c>
      <c r="K21">
        <v>2500</v>
      </c>
      <c r="L21">
        <v>2500</v>
      </c>
      <c r="M21">
        <v>2500</v>
      </c>
      <c r="N21">
        <v>2500</v>
      </c>
      <c r="O21">
        <v>2500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Daily Analysis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PREDATOR</cp:lastModifiedBy>
  <dcterms:created xsi:type="dcterms:W3CDTF">2026-06-03T06:45:38Z</dcterms:created>
  <dcterms:modified xsi:type="dcterms:W3CDTF">2026-06-04T07:11:22Z</dcterms:modified>
</cp:coreProperties>
</file>